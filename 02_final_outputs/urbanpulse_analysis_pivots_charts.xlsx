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2ee92fb85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0ef673c44014f42"/>
    <x:sheet xmlns:r="http://schemas.openxmlformats.org/officeDocument/2006/relationships" name="Pivot_CityZone" sheetId="2" r:id="R80439857d5304afc"/>
    <x:sheet xmlns:r="http://schemas.openxmlformats.org/officeDocument/2006/relationships" name="Pivot_Time" sheetId="3" r:id="R321b672aeaeb4f59"/>
    <x:sheet xmlns:r="http://schemas.openxmlformats.org/officeDocument/2006/relationships" name="Pivot_CityMetrics" sheetId="4" r:id="R7508ce19e12e492b"/>
    <x:sheet xmlns:r="http://schemas.openxmlformats.org/officeDocument/2006/relationships" name="Metric_Summary" sheetId="5" r:id="Raff23a6a46c04e08"/>
    <x:sheet xmlns:r="http://schemas.openxmlformats.org/officeDocument/2006/relationships" name="Quality" sheetId="6" r:id="R7dec14ce9fb743a4"/>
    <x:sheet xmlns:r="http://schemas.openxmlformats.org/officeDocument/2006/relationships" name="Methods" sheetId="7" r:id="Rb01b3bc78b464d40"/>
  </x:sheets>
  <x:definedNames>
    <x:definedName name="_xlnm.Print_Area" localSheetId="0">'Overview'!$A$1:$O$35</x:definedName>
    <x:definedName name="_xlnm.Print_Area" localSheetId="1">'Pivot_CityZone'!$A$1:$H$12</x:definedName>
    <x:definedName name="_xlnm.Print_Area" localSheetId="2">'Pivot_Time'!$A$1:$R$19</x:definedName>
    <x:definedName name="_xlnm.Print_Area" localSheetId="3">'Pivot_CityMetrics'!$A$1:$P$35</x:definedName>
    <x:definedName name="_xlnm.Print_Area" localSheetId="4">'Metric_Summary'!$A$1:$I$13</x:definedName>
    <x:definedName name="_xlnm.Print_Area" localSheetId="5">'Quality'!$A$1:$M$30</x:definedName>
    <x:definedName name="_xlnm.Print_Area" localSheetId="6">'Methods'!$A$1:$B$15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#,##0"/>
    <x:numFmt numFmtId="202" formatCode="0"/>
    <x:numFmt numFmtId="203" formatCode="0.000"/>
    <x:numFmt numFmtId="204" formatCode="#,##0.0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1"/>
      <x:color rgb="FF17365D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7458cb8db4c0b" /><Relationship Type="http://schemas.openxmlformats.org/officeDocument/2006/relationships/theme" Target="/xl/theme/theme1.xml" Id="R9ff6e25e5f984f77" /><Relationship Type="http://schemas.openxmlformats.org/officeDocument/2006/relationships/sharedStrings" Target="/xl/sharedStrings.xml" Id="Rcd90bfe7d3ee412a" /><Relationship Type="http://schemas.openxmlformats.org/officeDocument/2006/relationships/worksheet" Target="/xl/worksheets/sheet1.xml" Id="Rd0ef673c44014f42" /><Relationship Type="http://schemas.openxmlformats.org/officeDocument/2006/relationships/worksheet" Target="/xl/worksheets/sheet2.xml" Id="R80439857d5304afc" /><Relationship Type="http://schemas.openxmlformats.org/officeDocument/2006/relationships/worksheet" Target="/xl/worksheets/sheet3.xml" Id="R321b672aeaeb4f59" /><Relationship Type="http://schemas.openxmlformats.org/officeDocument/2006/relationships/worksheet" Target="/xl/worksheets/sheet4.xml" Id="R7508ce19e12e492b" /><Relationship Type="http://schemas.openxmlformats.org/officeDocument/2006/relationships/worksheet" Target="/xl/worksheets/sheet5.xml" Id="Raff23a6a46c04e08" /><Relationship Type="http://schemas.openxmlformats.org/officeDocument/2006/relationships/worksheet" Target="/xl/worksheets/sheet6.xml" Id="R7dec14ce9fb743a4" /><Relationship Type="http://schemas.openxmlformats.org/officeDocument/2006/relationships/worksheet" Target="/xl/worksheets/sheet7.xml" Id="Rb01b3bc78b464d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e581cd3f594160" /><Relationship Type="http://schemas.openxmlformats.org/officeDocument/2006/relationships/chart" Target="/xl/drawings/charts/chart2.xml" Id="R99c4be5fbfb14e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f0cf0bb8140479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9fb1450ac144ec5" /><Relationship Type="http://schemas.openxmlformats.org/officeDocument/2006/relationships/chart" Target="/xl/drawings/charts/chart5.xml" Id="R4c4dfe04107244a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e4355ee316146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Canonical observations by city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Observations</c:v>
          </c:tx>
          <c:cat>
            <c:strRef>
              <c:f>'Overview'!$A$21:$A$27</c:f>
              <c:strCache>
                <c:ptCount val="0"/>
              </c:strCache>
            </c:strRef>
          </c:cat>
          <c:val>
            <c:numRef>
              <c:f>'Overview'!$B$21:$B$27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speed by city (km/h)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Average speed mean</c:v>
          </c:tx>
          <c:cat>
            <c:strRef>
              <c:f>'Overview'!$C$21:$C$27</c:f>
              <c:strCache>
                <c:ptCount val="0"/>
              </c:strCache>
            </c:strRef>
          </c:cat>
          <c:val>
            <c:numRef>
              <c:f>'Overview'!$F$21:$F$27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Observations by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Ref>
              <c:f>'Pivot_Time'!$A$5:$A$13</c:f>
              <c:strCache>
                <c:ptCount val="0"/>
              </c:strCache>
            </c:strRef>
          </c:cat>
          <c:val>
            <c:numRef>
              <c:f>'Pivot_Time'!$H$5:$H$13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traffic volume by city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Traffic volume</c:v>
          </c:tx>
          <c:cat>
            <c:strRef>
              <c:f>'Pivot_CityMetrics'!$A$5:$A$11</c:f>
              <c:strCache>
                <c:ptCount val="0"/>
              </c:strCache>
            </c:strRef>
          </c:cat>
          <c:val>
            <c:numRef>
              <c:f>'Pivot_CityMetrics'!$B$5:$B$11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parking occupancy by city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Parking occupancy (%)</c:v>
          </c:tx>
          <c:cat>
            <c:strRef>
              <c:f>'Pivot_CityMetrics'!$A$5:$A$11</c:f>
              <c:strCache>
                <c:ptCount val="0"/>
              </c:strCache>
            </c:strRef>
          </c:cat>
          <c:val>
            <c:numRef>
              <c:f>'Pivot_CityMetrics'!$D$5:$D$11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quality flags by field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flags</c:v>
          </c:tx>
          <c:cat>
            <c:strRef>
              <c:f>'Quality'!$E$25:$E$30</c:f>
              <c:strCache>
                <c:ptCount val="0"/>
              </c:strCache>
            </c:strRef>
          </c:cat>
          <c:val>
            <c:numRef>
              <c:f>'Quality'!$F$25:$F$30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e581cd3f594160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c4be5fbfb14e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0cf0bb8140479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fb1450ac144ec5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4dfe04107244a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4355ee316146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Results" displayName="OverviewResults" ref="A10:D18" headerRowCount="1" totalsRowCount="0" totalsRowShown="0">
  <x:autoFilter ref="A10:D18"/>
  <x:tableColumns count="4">
    <x:tableColumn id="1" name="Key result"/>
    <x:tableColumn id="2" name="Value"/>
    <x:tableColumn id="3" name="Interpretation"/>
    <x:tableColumn id="4" name="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CityCharts" displayName="OverviewCityCharts" ref="A20:F27" headerRowCount="1" totalsRowCount="0" totalsRowShown="0">
  <x:autoFilter ref="A20:F27"/>
  <x:tableColumns count="6">
    <x:tableColumn id="1" name="City"/>
    <x:tableColumn id="2" name="Observations"/>
    <x:tableColumn id="3" name="City"/>
    <x:tableColumn id="4" name="Traffic volume mean"/>
    <x:tableColumn id="5" name="City"/>
    <x:tableColumn id="6" name="Average speed 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votCityZone" displayName="PivotCityZone" ref="A4:H12" headerRowCount="1" totalsRowCount="0" totalsRowShown="0">
  <x:autoFilter ref="A4:H12"/>
  <x:tableColumns count="8">
    <x:tableColumn id="1" name="City"/>
    <x:tableColumn id="2" name="(missing)"/>
    <x:tableColumn id="3" name="Central"/>
    <x:tableColumn id="4" name="East"/>
    <x:tableColumn id="5" name="North"/>
    <x:tableColumn id="6" name="South"/>
    <x:tableColumn id="7" name="West"/>
    <x:tableColumn id="8" name="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votTime" displayName="PivotTime" ref="A4:H14" headerRowCount="1" totalsRowCount="0" totalsRowShown="0">
  <x:autoFilter ref="A4:H14"/>
  <x:tableColumns count="8">
    <x:tableColumn id="1" name="Month"/>
    <x:tableColumn id="2" name="00:00"/>
    <x:tableColumn id="3" name="04:00"/>
    <x:tableColumn id="4" name="08:00"/>
    <x:tableColumn id="5" name="12:00"/>
    <x:tableColumn id="6" name="16:00"/>
    <x:tableColumn id="7" name="20:00"/>
    <x:tableColumn id="8" name="Tot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votCityMetrics" displayName="PivotCityMetrics" ref="A4:F11" headerRowCount="1" totalsRowCount="0" totalsRowShown="0">
  <x:autoFilter ref="A4:F11"/>
  <x:tableColumns count="6">
    <x:tableColumn id="1" name="City"/>
    <x:tableColumn id="2" name="Traffic volume"/>
    <x:tableColumn id="3" name="Average speed (km/h)"/>
    <x:tableColumn id="4" name="Parking occupancy (%)"/>
    <x:tableColumn id="5" name="Temperature (C)"/>
    <x:tableColumn id="6" name="Citizen complai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ummary" displayName="MetricSummary" ref="A4:I13" headerRowCount="1" totalsRowCount="0" totalsRowShown="0">
  <x:autoFilter ref="A4:I13"/>
  <x:tableColumns count="9">
    <x:tableColumn id="1" name="Metric"/>
    <x:tableColumn id="2" name="Observed n"/>
    <x:tableColumn id="3" name="Mean"/>
    <x:tableColumn id="4" name="Median"/>
    <x:tableColumn id="5" name="Std dev"/>
    <x:tableColumn id="6" name="Min"/>
    <x:tableColumn id="7" name="Max"/>
    <x:tableColumn id="8" name="99% CI low"/>
    <x:tableColumn id="9" name="99% CI hig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Flags" displayName="QualityFlags" ref="A4:C18" headerRowCount="1" totalsRowCount="0" totalsRowShown="0">
  <x:autoFilter ref="A4:C18"/>
  <x:tableColumns count="3">
    <x:tableColumn id="1" name="Flag type"/>
    <x:tableColumn id="2" name="Field"/>
    <x:tableColumn id="3" name="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alityByField" displayName="QualityByField" ref="E24:F30" headerRowCount="1" totalsRowCount="0" totalsRowShown="0">
  <x:autoFilter ref="E24:F30"/>
  <x:tableColumns count="2">
    <x:tableColumn id="1" name="Field"/>
    <x:tableColumn id="2" name="Total flag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ualityDecisions" displayName="QualityDecisions" ref="A22:B27" headerRowCount="1" totalsRowCount="0" totalsRowShown="0">
  <x:autoFilter ref="A22:B27"/>
  <x:tableColumns count="2">
    <x:tableColumn id="1" name="Recorded decision"/>
    <x:tableColumn id="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9f26e9a0dd45de" /><Relationship Type="http://schemas.openxmlformats.org/officeDocument/2006/relationships/table" Target="/xl/tables/table1.xml" Id="Ra25e2976f211453a" /><Relationship Type="http://schemas.openxmlformats.org/officeDocument/2006/relationships/table" Target="/xl/tables/table2.xml" Id="R59891686e9a34f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0f4d50e6e44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cf31351e2164fbb" /><Relationship Type="http://schemas.openxmlformats.org/officeDocument/2006/relationships/table" Target="/xl/tables/table4.xml" Id="R764d9745cac243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2a7d68fbcbd4a45" /><Relationship Type="http://schemas.openxmlformats.org/officeDocument/2006/relationships/table" Target="/xl/tables/table5.xml" Id="R30ed0936d1e647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28850e78a65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e78149786d104d56" /><Relationship Type="http://schemas.openxmlformats.org/officeDocument/2006/relationships/table" Target="/xl/tables/table7.xml" Id="R162b29d3e56f48e9" /><Relationship Type="http://schemas.openxmlformats.org/officeDocument/2006/relationships/table" Target="/xl/tables/table8.xml" Id="R65f5817b021a418d" /><Relationship Type="http://schemas.openxmlformats.org/officeDocument/2006/relationships/table" Target="/xl/tables/table9.xml" Id="Ra1b781295e674e51" /></Relationships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2" hidden="0" customWidth="1"/>
    <x:col min="2" max="2" width="16" hidden="0" customWidth="1"/>
    <x:col min="3" max="3" width="44" hidden="0" customWidth="1"/>
    <x:col min="4" max="4" width="36" hidden="0" customWidth="1"/>
    <x:col min="5" max="5" width="18" hidden="0" customWidth="1"/>
    <x:col min="6" max="6" width="18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1" t="str">
        <x:v>UrbanPulse Analysis Report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Canonical observed layer | 1,600 rows | 2026-01-01 to 2026-09-24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Final classification</x:v>
      </x:c>
      <x:c r="B4" s="25" t="str">
        <x:v>Fit only for descriptive reporting</x:v>
      </x:c>
      <x:c r="C4" s="23"/>
      <x:c r="D4" s="23"/>
      <x:c r="E4" s="23"/>
      <x:c r="F4" s="23"/>
      <x:c r="G4" s="23"/>
      <x:c r="H4" s="23"/>
    </x:row>
    <x:row r="5">
      <x:c r="A5" s="24" t="str">
        <x:v>Raw rows</x:v>
      </x:c>
      <x:c r="B5" s="32" t="n">
        <x:v>1635</x:v>
      </x:c>
      <x:c r="C5" s="23"/>
      <x:c r="D5" s="23"/>
      <x:c r="E5" s="23"/>
      <x:c r="F5" s="23"/>
      <x:c r="G5" s="23"/>
      <x:c r="H5" s="23"/>
    </x:row>
    <x:row r="6">
      <x:c r="A6" s="24" t="str">
        <x:v>Canonical rows</x:v>
      </x:c>
      <x:c r="B6" s="32" t="n">
        <x:v>1600</x:v>
      </x:c>
      <x:c r="C6" s="23"/>
      <x:c r="D6" s="23"/>
      <x:c r="E6" s="23"/>
      <x:c r="F6" s="23"/>
      <x:c r="G6" s="23"/>
      <x:c r="H6" s="23"/>
    </x:row>
    <x:row r="7">
      <x:c r="A7" s="24" t="str">
        <x:v>Primary-analysis eligible</x:v>
      </x:c>
      <x:c r="B7" s="32" t="n">
        <x:v>1491</x:v>
      </x:c>
      <x:c r="C7" s="23"/>
      <x:c r="D7" s="23"/>
      <x:c r="E7" s="23"/>
      <x:c r="F7" s="23"/>
      <x:c r="G7" s="23"/>
      <x:c r="H7" s="23"/>
    </x:row>
    <x:row r="8">
      <x:c r="A8" s="24" t="str">
        <x:v>Provenance flags</x:v>
      </x:c>
      <x:c r="B8" s="32" t="n">
        <x:v>0</x:v>
      </x:c>
      <x:c r="C8" s="23"/>
      <x:c r="D8" s="23"/>
      <x:c r="E8" s="23"/>
      <x:c r="F8" s="23"/>
      <x:c r="G8" s="23"/>
      <x:c r="H8" s="23"/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10" t="str">
        <x:v>Key result</x:v>
      </x:c>
      <x:c r="B10" s="10" t="str">
        <x:v>Value</x:v>
      </x:c>
      <x:c r="C10" s="10" t="str">
        <x:v>Interpretation</x:v>
      </x:c>
      <x:c r="D10" s="10" t="str">
        <x:v>Use</x:v>
      </x:c>
      <x:c r="E10" s="23"/>
      <x:c r="F10" s="23"/>
      <x:c r="G10" s="23"/>
      <x:c r="H10" s="23"/>
    </x:row>
    <x:row r="11">
      <x:c r="A11" s="23" t="str">
        <x:v>Hypotheses supported at 99%</x:v>
      </x:c>
      <x:c r="B11" s="33" t="n">
        <x:v>0</x:v>
      </x:c>
      <x:c r="C11" s="23" t="str">
        <x:v>No registered relationship met the predefined threshold</x:v>
      </x:c>
      <x:c r="D11" s="23" t="str">
        <x:v>Do not make causal claims</x:v>
      </x:c>
      <x:c r="E11" s="23"/>
      <x:c r="F11" s="23"/>
      <x:c r="G11" s="23"/>
      <x:c r="H11" s="23"/>
    </x:row>
    <x:row r="12">
      <x:c r="A12" s="23" t="str">
        <x:v>Adjusted relationship intervals including null</x:v>
      </x:c>
      <x:c r="B12" s="23" t="str">
        <x:v>3 of 3</x:v>
      </x:c>
      <x:c r="C12" s="23" t="str">
        <x:v>Traffic-speed, waterlogging-incidents, temperature-outage</x:v>
      </x:c>
      <x:c r="D12" s="23" t="str">
        <x:v>Describe as non-detection</x:v>
      </x:c>
      <x:c r="E12" s="23"/>
      <x:c r="F12" s="23"/>
      <x:c r="G12" s="23"/>
      <x:c r="H12" s="23"/>
    </x:row>
    <x:row r="13">
      <x:c r="A13" s="23" t="str">
        <x:v>Mean forecasting R²</x:v>
      </x:c>
      <x:c r="B13" s="34" t="n">
        <x:v>-1.508</x:v>
      </x:c>
      <x:c r="C13" s="23" t="str">
        <x:v>Forecast models did not outperform simple baselines reliably</x:v>
      </x:c>
      <x:c r="D13" s="23" t="str">
        <x:v>Do not use for production forecasting</x:v>
      </x:c>
      <x:c r="E13" s="23"/>
      <x:c r="F13" s="23"/>
      <x:c r="G13" s="23"/>
      <x:c r="H13" s="23"/>
    </x:row>
    <x:row r="14">
      <x:c r="A14" s="23" t="str">
        <x:v>Unknown quality decisions</x:v>
      </x:c>
      <x:c r="B14" s="35" t="n">
        <x:v>285</x:v>
      </x:c>
      <x:c r="C14" s="23" t="str">
        <x:v>Unresolved semantic or validity issues remain</x:v>
      </x:c>
      <x:c r="D14" s="23" t="str">
        <x:v>Retain flags and document limits</x:v>
      </x:c>
      <x:c r="E14" s="23"/>
      <x:c r="F14" s="23"/>
      <x:c r="G14" s="23"/>
      <x:c r="H14" s="23"/>
    </x:row>
    <x:row r="15">
      <x:c r="A15" s="23" t="str">
        <x:v>Raw duplicate rows</x:v>
      </x:c>
      <x:c r="B15" s="35" t="n">
        <x:v>35</x:v>
      </x:c>
      <x:c r="C15" s="23" t="str">
        <x:v>Exact duplicates retained in raw audit layer</x:v>
      </x:c>
      <x:c r="D15" s="23" t="str">
        <x:v>Canonical layer deduplicated</x:v>
      </x:c>
      <x:c r="E15" s="23"/>
      <x:c r="F15" s="23"/>
      <x:c r="G15" s="23"/>
      <x:c r="H15" s="23"/>
    </x:row>
    <x:row r="16">
      <x:c r="A16" s="23" t="str">
        <x:v>Metric imputation events</x:v>
      </x:c>
      <x:c r="B16" s="35" t="n">
        <x:v>135</x:v>
      </x:c>
      <x:c r="C16" s="23" t="str">
        <x:v>Separate sensitivity layer only</x:v>
      </x:c>
      <x:c r="D16" s="23" t="str">
        <x:v>Primary analysis uses observed values</x:v>
      </x:c>
      <x:c r="E16" s="23"/>
      <x:c r="F16" s="23"/>
      <x:c r="G16" s="23"/>
      <x:c r="H16" s="23"/>
    </x:row>
    <x:row r="17">
      <x:c r="A17" s="23" t="str">
        <x:v>Simulation repetitions</x:v>
      </x:c>
      <x:c r="B17" s="35" t="n">
        <x:v>5000</x:v>
      </x:c>
      <x:c r="C17" s="23" t="str">
        <x:v>Independent within-field permutation null</x:v>
      </x:c>
      <x:c r="D17" s="23" t="str">
        <x:v>No provenance proof</x:v>
      </x:c>
      <x:c r="E17" s="23"/>
      <x:c r="F17" s="23"/>
      <x:c r="G17" s="23"/>
      <x:c r="H17" s="23"/>
    </x:row>
    <x:row r="18">
      <x:c r="A18" s="23" t="str">
        <x:v>Dataset grain</x:v>
      </x:c>
      <x:c r="B18" s="23" t="str">
        <x:v>Intentional sample</x:v>
      </x:c>
      <x:c r="C18" s="23" t="str">
        <x:v>One canonical row per timestamp after deduplication</x:v>
      </x:c>
      <x:c r="D18" s="23" t="str">
        <x:v>Not a complete city-zone panel</x:v>
      </x:c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10" t="str">
        <x:v>City</x:v>
      </x:c>
      <x:c r="B20" s="10" t="str">
        <x:v>Observations</x:v>
      </x:c>
      <x:c r="C20" s="10" t="str">
        <x:v>City</x:v>
      </x:c>
      <x:c r="D20" s="10" t="str">
        <x:v>Traffic volume mean</x:v>
      </x:c>
      <x:c r="E20" s="10" t="str">
        <x:v>City</x:v>
      </x:c>
      <x:c r="F20" s="10" t="str">
        <x:v>Average speed mean</x:v>
      </x:c>
      <x:c r="G20" s="23"/>
      <x:c r="H20" s="23"/>
    </x:row>
    <x:row r="21">
      <x:c r="A21" s="23" t="str">
        <x:v>Bengaluru</x:v>
      </x:c>
      <x:c r="B21" s="35" t="n">
        <x:v>223</x:v>
      </x:c>
      <x:c r="C21" s="23" t="str">
        <x:v>Bengaluru</x:v>
      </x:c>
      <x:c r="D21" s="36" t="n">
        <x:v>2110.2718894009217</x:v>
      </x:c>
      <x:c r="E21" s="23" t="str">
        <x:v>Bengaluru</x:v>
      </x:c>
      <x:c r="F21" s="27" t="n">
        <x:v>38.786511627906975</x:v>
      </x:c>
      <x:c r="G21" s="23"/>
      <x:c r="H21" s="23"/>
    </x:row>
    <x:row r="22">
      <x:c r="A22" s="23" t="str">
        <x:v>Bhopal</x:v>
      </x:c>
      <x:c r="B22" s="35" t="n">
        <x:v>204</x:v>
      </x:c>
      <x:c r="C22" s="23" t="str">
        <x:v>Bhopal</x:v>
      </x:c>
      <x:c r="D22" s="36" t="n">
        <x:v>2184.2323232323233</x:v>
      </x:c>
      <x:c r="E22" s="23" t="str">
        <x:v>Bhopal</x:v>
      </x:c>
      <x:c r="F22" s="27" t="n">
        <x:v>37.723350253807105</x:v>
      </x:c>
      <x:c r="G22" s="23"/>
      <x:c r="H22" s="23"/>
    </x:row>
    <x:row r="23">
      <x:c r="A23" s="23" t="str">
        <x:v>Delhi</x:v>
      </x:c>
      <x:c r="B23" s="35" t="n">
        <x:v>231</x:v>
      </x:c>
      <x:c r="C23" s="23" t="str">
        <x:v>Delhi</x:v>
      </x:c>
      <x:c r="D23" s="36" t="n">
        <x:v>1926.6842105263158</x:v>
      </x:c>
      <x:c r="E23" s="23" t="str">
        <x:v>Delhi</x:v>
      </x:c>
      <x:c r="F23" s="27" t="n">
        <x:v>38.13665158371041</x:v>
      </x:c>
      <x:c r="G23" s="23"/>
      <x:c r="H23" s="23"/>
    </x:row>
    <x:row r="24">
      <x:c r="A24" s="23" t="str">
        <x:v>Indore</x:v>
      </x:c>
      <x:c r="B24" s="35" t="n">
        <x:v>240</x:v>
      </x:c>
      <x:c r="C24" s="23" t="str">
        <x:v>Indore</x:v>
      </x:c>
      <x:c r="D24" s="36" t="n">
        <x:v>2014.9957627118645</x:v>
      </x:c>
      <x:c r="E24" s="23" t="str">
        <x:v>Indore</x:v>
      </x:c>
      <x:c r="F24" s="27" t="n">
        <x:v>38.06738197424893</x:v>
      </x:c>
      <x:c r="G24" s="23"/>
      <x:c r="H24" s="23"/>
    </x:row>
    <x:row r="25">
      <x:c r="A25" s="23" t="str">
        <x:v>Jaipur</x:v>
      </x:c>
      <x:c r="B25" s="35" t="n">
        <x:v>231</x:v>
      </x:c>
      <x:c r="C25" s="23" t="str">
        <x:v>Jaipur</x:v>
      </x:c>
      <x:c r="D25" s="36" t="n">
        <x:v>2105.541850220264</x:v>
      </x:c>
      <x:c r="E25" s="23" t="str">
        <x:v>Jaipur</x:v>
      </x:c>
      <x:c r="F25" s="27" t="n">
        <x:v>38.21696428571429</x:v>
      </x:c>
      <x:c r="G25" s="23"/>
      <x:c r="H25" s="23"/>
    </x:row>
    <x:row r="26">
      <x:c r="A26" s="23" t="str">
        <x:v>Nagpur</x:v>
      </x:c>
      <x:c r="B26" s="35" t="n">
        <x:v>229</x:v>
      </x:c>
      <x:c r="C26" s="23" t="str">
        <x:v>Nagpur</x:v>
      </x:c>
      <x:c r="D26" s="36" t="n">
        <x:v>2073.5466666666666</x:v>
      </x:c>
      <x:c r="E26" s="23" t="str">
        <x:v>Nagpur</x:v>
      </x:c>
      <x:c r="F26" s="27" t="n">
        <x:v>37.68017621145374</x:v>
      </x:c>
      <x:c r="G26" s="23"/>
      <x:c r="H26" s="23"/>
    </x:row>
    <x:row r="27">
      <x:c r="A27" s="23" t="str">
        <x:v>Pune</x:v>
      </x:c>
      <x:c r="B27" s="35" t="n">
        <x:v>242</x:v>
      </x:c>
      <x:c r="C27" s="23" t="str">
        <x:v>Pune</x:v>
      </x:c>
      <x:c r="D27" s="36" t="n">
        <x:v>1966.886075949367</x:v>
      </x:c>
      <x:c r="E27" s="23" t="str">
        <x:v>Pune</x:v>
      </x:c>
      <x:c r="F27" s="27" t="n">
        <x:v>38.4965811965812</x:v>
      </x:c>
      <x:c r="G27" s="23"/>
      <x:c r="H27" s="23"/>
    </x:row>
  </x:sheetData>
  <x:mergeCells>
    <x:mergeCell ref="A1:H1"/>
    <x:mergeCell ref="A2:H2"/>
  </x:mergeCells>
  <x:printOptions horizontalCentered="1" verticalCentered="0" gridLines="0" headings="0"/>
  <x:pageMargins left="0.25" right="0.25" top="0.35" bottom="0.35" header="0.15" footer="0.15"/>
  <x:pageSetup paperSize="9" orientation="landscape" fitToWidth="1" fitToHeight="2"/>
  <x:drawing xmlns:r="http://schemas.openxmlformats.org/officeDocument/2006/relationships" r:id="R2b9f26e9a0dd45de"/>
  <x:tableParts count="2">
    <x:tablePart xmlns:r="http://schemas.openxmlformats.org/officeDocument/2006/relationships" r:id="Ra25e2976f211453a"/>
    <x:tablePart xmlns:r="http://schemas.openxmlformats.org/officeDocument/2006/relationships" r:id="R59891686e9a34f7b"/>
  </x:tableParts>
</x:worksheet>
</file>

<file path=xl/worksheets/sheet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1" t="str">
        <x:v>Pivot Table: Observations by City and Zone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Canonical observed rows; missing zones remain a separate category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City</x:v>
      </x:c>
      <x:c r="B4" s="10" t="str">
        <x:v>(missing)</x:v>
      </x:c>
      <x:c r="C4" s="10" t="str">
        <x:v>Central</x:v>
      </x:c>
      <x:c r="D4" s="10" t="str">
        <x:v>East</x:v>
      </x:c>
      <x:c r="E4" s="10" t="str">
        <x:v>North</x:v>
      </x:c>
      <x:c r="F4" s="10" t="str">
        <x:v>South</x:v>
      </x:c>
      <x:c r="G4" s="10" t="str">
        <x:v>West</x:v>
      </x:c>
      <x:c r="H4" s="10" t="str">
        <x:v>Total</x:v>
      </x:c>
    </x:row>
    <x:row r="5">
      <x:c r="A5" s="23" t="str">
        <x:v>Pune</x:v>
      </x:c>
      <x:c r="B5" s="35" t="n">
        <x:v>4</x:v>
      </x:c>
      <x:c r="C5" s="35" t="n">
        <x:v>68</x:v>
      </x:c>
      <x:c r="D5" s="35" t="n">
        <x:v>35</x:v>
      </x:c>
      <x:c r="E5" s="35" t="n">
        <x:v>62</x:v>
      </x:c>
      <x:c r="F5" s="35" t="n">
        <x:v>31</x:v>
      </x:c>
      <x:c r="G5" s="35" t="n">
        <x:v>42</x:v>
      </x:c>
      <x:c r="H5" s="35" t="n">
        <x:f>SUM(B5:G5)</x:f>
        <x:v>242</x:v>
      </x:c>
    </x:row>
    <x:row r="6">
      <x:c r="A6" s="23" t="str">
        <x:v>Indore</x:v>
      </x:c>
      <x:c r="B6" s="35" t="n">
        <x:v>1</x:v>
      </x:c>
      <x:c r="C6" s="35" t="n">
        <x:v>66</x:v>
      </x:c>
      <x:c r="D6" s="35" t="n">
        <x:v>35</x:v>
      </x:c>
      <x:c r="E6" s="35" t="n">
        <x:v>66</x:v>
      </x:c>
      <x:c r="F6" s="35" t="n">
        <x:v>34</x:v>
      </x:c>
      <x:c r="G6" s="35" t="n">
        <x:v>38</x:v>
      </x:c>
      <x:c r="H6" s="35" t="n">
        <x:f>SUM(B6:G6)</x:f>
        <x:v>240</x:v>
      </x:c>
    </x:row>
    <x:row r="7">
      <x:c r="A7" s="23" t="str">
        <x:v>Delhi</x:v>
      </x:c>
      <x:c r="B7" s="35" t="n">
        <x:v>8</x:v>
      </x:c>
      <x:c r="C7" s="35" t="n">
        <x:v>58</x:v>
      </x:c>
      <x:c r="D7" s="35" t="n">
        <x:v>39</x:v>
      </x:c>
      <x:c r="E7" s="35" t="n">
        <x:v>69</x:v>
      </x:c>
      <x:c r="F7" s="35" t="n">
        <x:v>25</x:v>
      </x:c>
      <x:c r="G7" s="35" t="n">
        <x:v>32</x:v>
      </x:c>
      <x:c r="H7" s="35" t="n">
        <x:f>SUM(B7:G7)</x:f>
        <x:v>231</x:v>
      </x:c>
    </x:row>
    <x:row r="8">
      <x:c r="A8" s="23" t="str">
        <x:v>Jaipur</x:v>
      </x:c>
      <x:c r="B8" s="35" t="n">
        <x:v>5</x:v>
      </x:c>
      <x:c r="C8" s="35" t="n">
        <x:v>62</x:v>
      </x:c>
      <x:c r="D8" s="35" t="n">
        <x:v>33</x:v>
      </x:c>
      <x:c r="E8" s="35" t="n">
        <x:v>67</x:v>
      </x:c>
      <x:c r="F8" s="35" t="n">
        <x:v>25</x:v>
      </x:c>
      <x:c r="G8" s="35" t="n">
        <x:v>39</x:v>
      </x:c>
      <x:c r="H8" s="35" t="n">
        <x:f>SUM(B8:G8)</x:f>
        <x:v>231</x:v>
      </x:c>
    </x:row>
    <x:row r="9">
      <x:c r="A9" s="23" t="str">
        <x:v>Nagpur</x:v>
      </x:c>
      <x:c r="B9" s="35" t="n">
        <x:v>5</x:v>
      </x:c>
      <x:c r="C9" s="35" t="n">
        <x:v>74</x:v>
      </x:c>
      <x:c r="D9" s="35" t="n">
        <x:v>34</x:v>
      </x:c>
      <x:c r="E9" s="35" t="n">
        <x:v>64</x:v>
      </x:c>
      <x:c r="F9" s="35" t="n">
        <x:v>24</x:v>
      </x:c>
      <x:c r="G9" s="35" t="n">
        <x:v>28</x:v>
      </x:c>
      <x:c r="H9" s="35" t="n">
        <x:f>SUM(B9:G9)</x:f>
        <x:v>229</x:v>
      </x:c>
    </x:row>
    <x:row r="10">
      <x:c r="A10" s="23" t="str">
        <x:v>Bengaluru</x:v>
      </x:c>
      <x:c r="B10" s="35" t="n">
        <x:v>4</x:v>
      </x:c>
      <x:c r="C10" s="35" t="n">
        <x:v>61</x:v>
      </x:c>
      <x:c r="D10" s="35" t="n">
        <x:v>34</x:v>
      </x:c>
      <x:c r="E10" s="35" t="n">
        <x:v>50</x:v>
      </x:c>
      <x:c r="F10" s="35" t="n">
        <x:v>38</x:v>
      </x:c>
      <x:c r="G10" s="35" t="n">
        <x:v>36</x:v>
      </x:c>
      <x:c r="H10" s="35" t="n">
        <x:f>SUM(B10:G10)</x:f>
        <x:v>223</x:v>
      </x:c>
    </x:row>
    <x:row r="11">
      <x:c r="A11" s="23" t="str">
        <x:v>Bhopal</x:v>
      </x:c>
      <x:c r="B11" s="35" t="n">
        <x:v>5</x:v>
      </x:c>
      <x:c r="C11" s="35" t="n">
        <x:v>60</x:v>
      </x:c>
      <x:c r="D11" s="35" t="n">
        <x:v>27</x:v>
      </x:c>
      <x:c r="E11" s="35" t="n">
        <x:v>59</x:v>
      </x:c>
      <x:c r="F11" s="35" t="n">
        <x:v>30</x:v>
      </x:c>
      <x:c r="G11" s="35" t="n">
        <x:v>23</x:v>
      </x:c>
      <x:c r="H11" s="35" t="n">
        <x:f>SUM(B11:G11)</x:f>
        <x:v>204</x:v>
      </x:c>
    </x:row>
    <x:row r="12">
      <x:c r="A12" s="24" t="str">
        <x:v>Total</x:v>
      </x:c>
      <x:c r="B12" s="37" t="n">
        <x:f>SUM(B5:B11)</x:f>
        <x:v>32</x:v>
      </x:c>
      <x:c r="C12" s="37" t="n">
        <x:f>SUM(C5:C11)</x:f>
        <x:v>449</x:v>
      </x:c>
      <x:c r="D12" s="37" t="n">
        <x:f>SUM(D5:D11)</x:f>
        <x:v>237</x:v>
      </x:c>
      <x:c r="E12" s="37" t="n">
        <x:f>SUM(E5:E11)</x:f>
        <x:v>437</x:v>
      </x:c>
      <x:c r="F12" s="37" t="n">
        <x:f>SUM(F5:F11)</x:f>
        <x:v>207</x:v>
      </x:c>
      <x:c r="G12" s="37" t="n">
        <x:f>SUM(G5:G11)</x:f>
        <x:v>238</x:v>
      </x:c>
      <x:c r="H12" s="37" t="n">
        <x:f>SUM(H5:H11)</x:f>
        <x:v>1600</x:v>
      </x:c>
    </x:row>
  </x:sheetData>
  <x:mergeCells>
    <x:mergeCell ref="A1:H1"/>
    <x:mergeCell ref="A2:H2"/>
  </x:mergeCells>
  <x:tableParts count="1">
    <x:tablePart xmlns:r="http://schemas.openxmlformats.org/officeDocument/2006/relationships" r:id="R10f4d50e6e444f83"/>
  </x:tableParts>
  <x:printOptions horizontalCentered="1" verticalCentered="0" gridLines="0" headings="0"/>
  <x:pageMargins left="0.25" right="0.25" top="0.35" bottom="0.35" header="0.15" footer="0.15"/>
  <x:pageSetup paperSize="9" orientation="portrait" fitToWidth="1" fitToHeight="1"/>
</x:worksheet>
</file>

<file path=xl/worksheets/sheet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21" t="str">
        <x:v>Pivot Table: Observations by Month and Time Slot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Canonical observed rows; counts are descriptive, not evidence of a complete panel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Month</x:v>
      </x:c>
      <x:c r="B4" s="10" t="str">
        <x:v>00:00</x:v>
      </x:c>
      <x:c r="C4" s="10" t="str">
        <x:v>04:00</x:v>
      </x:c>
      <x:c r="D4" s="10" t="str">
        <x:v>08:00</x:v>
      </x:c>
      <x:c r="E4" s="10" t="str">
        <x:v>12:00</x:v>
      </x:c>
      <x:c r="F4" s="10" t="str">
        <x:v>16:00</x:v>
      </x:c>
      <x:c r="G4" s="10" t="str">
        <x:v>20:00</x:v>
      </x:c>
      <x:c r="H4" s="10" t="str">
        <x:v>Total</x:v>
      </x:c>
    </x:row>
    <x:row r="5">
      <x:c r="A5" s="23" t="str">
        <x:v>2026-01</x:v>
      </x:c>
      <x:c r="B5" s="35" t="n">
        <x:v>31</x:v>
      </x:c>
      <x:c r="C5" s="35" t="n">
        <x:v>31</x:v>
      </x:c>
      <x:c r="D5" s="35" t="n">
        <x:v>31</x:v>
      </x:c>
      <x:c r="E5" s="35" t="n">
        <x:v>31</x:v>
      </x:c>
      <x:c r="F5" s="35" t="n">
        <x:v>31</x:v>
      </x:c>
      <x:c r="G5" s="35" t="n">
        <x:v>31</x:v>
      </x:c>
      <x:c r="H5" s="35" t="n">
        <x:f>SUM(B5:G5)</x:f>
        <x:v>186</x:v>
      </x:c>
    </x:row>
    <x:row r="6">
      <x:c r="A6" s="23" t="str">
        <x:v>2026-02</x:v>
      </x:c>
      <x:c r="B6" s="35" t="n">
        <x:v>28</x:v>
      </x:c>
      <x:c r="C6" s="35" t="n">
        <x:v>28</x:v>
      </x:c>
      <x:c r="D6" s="35" t="n">
        <x:v>28</x:v>
      </x:c>
      <x:c r="E6" s="35" t="n">
        <x:v>28</x:v>
      </x:c>
      <x:c r="F6" s="35" t="n">
        <x:v>28</x:v>
      </x:c>
      <x:c r="G6" s="35" t="n">
        <x:v>28</x:v>
      </x:c>
      <x:c r="H6" s="35" t="n">
        <x:f>SUM(B6:G6)</x:f>
        <x:v>168</x:v>
      </x:c>
    </x:row>
    <x:row r="7">
      <x:c r="A7" s="23" t="str">
        <x:v>2026-03</x:v>
      </x:c>
      <x:c r="B7" s="35" t="n">
        <x:v>31</x:v>
      </x:c>
      <x:c r="C7" s="35" t="n">
        <x:v>31</x:v>
      </x:c>
      <x:c r="D7" s="35" t="n">
        <x:v>31</x:v>
      </x:c>
      <x:c r="E7" s="35" t="n">
        <x:v>31</x:v>
      </x:c>
      <x:c r="F7" s="35" t="n">
        <x:v>31</x:v>
      </x:c>
      <x:c r="G7" s="35" t="n">
        <x:v>31</x:v>
      </x:c>
      <x:c r="H7" s="35" t="n">
        <x:f>SUM(B7:G7)</x:f>
        <x:v>186</x:v>
      </x:c>
    </x:row>
    <x:row r="8">
      <x:c r="A8" s="23" t="str">
        <x:v>2026-04</x:v>
      </x:c>
      <x:c r="B8" s="35" t="n">
        <x:v>30</x:v>
      </x:c>
      <x:c r="C8" s="35" t="n">
        <x:v>30</x:v>
      </x:c>
      <x:c r="D8" s="35" t="n">
        <x:v>30</x:v>
      </x:c>
      <x:c r="E8" s="35" t="n">
        <x:v>30</x:v>
      </x:c>
      <x:c r="F8" s="35" t="n">
        <x:v>30</x:v>
      </x:c>
      <x:c r="G8" s="35" t="n">
        <x:v>30</x:v>
      </x:c>
      <x:c r="H8" s="35" t="n">
        <x:f>SUM(B8:G8)</x:f>
        <x:v>180</x:v>
      </x:c>
    </x:row>
    <x:row r="9">
      <x:c r="A9" s="23" t="str">
        <x:v>2026-05</x:v>
      </x:c>
      <x:c r="B9" s="35" t="n">
        <x:v>31</x:v>
      </x:c>
      <x:c r="C9" s="35" t="n">
        <x:v>31</x:v>
      </x:c>
      <x:c r="D9" s="35" t="n">
        <x:v>31</x:v>
      </x:c>
      <x:c r="E9" s="35" t="n">
        <x:v>31</x:v>
      </x:c>
      <x:c r="F9" s="35" t="n">
        <x:v>31</x:v>
      </x:c>
      <x:c r="G9" s="35" t="n">
        <x:v>31</x:v>
      </x:c>
      <x:c r="H9" s="35" t="n">
        <x:f>SUM(B9:G9)</x:f>
        <x:v>186</x:v>
      </x:c>
    </x:row>
    <x:row r="10">
      <x:c r="A10" s="23" t="str">
        <x:v>2026-06</x:v>
      </x:c>
      <x:c r="B10" s="35" t="n">
        <x:v>30</x:v>
      </x:c>
      <x:c r="C10" s="35" t="n">
        <x:v>30</x:v>
      </x:c>
      <x:c r="D10" s="35" t="n">
        <x:v>30</x:v>
      </x:c>
      <x:c r="E10" s="35" t="n">
        <x:v>30</x:v>
      </x:c>
      <x:c r="F10" s="35" t="n">
        <x:v>30</x:v>
      </x:c>
      <x:c r="G10" s="35" t="n">
        <x:v>30</x:v>
      </x:c>
      <x:c r="H10" s="35" t="n">
        <x:f>SUM(B10:G10)</x:f>
        <x:v>180</x:v>
      </x:c>
    </x:row>
    <x:row r="11">
      <x:c r="A11" s="23" t="str">
        <x:v>2026-07</x:v>
      </x:c>
      <x:c r="B11" s="35" t="n">
        <x:v>31</x:v>
      </x:c>
      <x:c r="C11" s="35" t="n">
        <x:v>31</x:v>
      </x:c>
      <x:c r="D11" s="35" t="n">
        <x:v>31</x:v>
      </x:c>
      <x:c r="E11" s="35" t="n">
        <x:v>31</x:v>
      </x:c>
      <x:c r="F11" s="35" t="n">
        <x:v>31</x:v>
      </x:c>
      <x:c r="G11" s="35" t="n">
        <x:v>31</x:v>
      </x:c>
      <x:c r="H11" s="35" t="n">
        <x:f>SUM(B11:G11)</x:f>
        <x:v>186</x:v>
      </x:c>
    </x:row>
    <x:row r="12">
      <x:c r="A12" s="23" t="str">
        <x:v>2026-08</x:v>
      </x:c>
      <x:c r="B12" s="35" t="n">
        <x:v>31</x:v>
      </x:c>
      <x:c r="C12" s="35" t="n">
        <x:v>31</x:v>
      </x:c>
      <x:c r="D12" s="35" t="n">
        <x:v>31</x:v>
      </x:c>
      <x:c r="E12" s="35" t="n">
        <x:v>31</x:v>
      </x:c>
      <x:c r="F12" s="35" t="n">
        <x:v>31</x:v>
      </x:c>
      <x:c r="G12" s="35" t="n">
        <x:v>31</x:v>
      </x:c>
      <x:c r="H12" s="35" t="n">
        <x:f>SUM(B12:G12)</x:f>
        <x:v>186</x:v>
      </x:c>
    </x:row>
    <x:row r="13">
      <x:c r="A13" s="23" t="str">
        <x:v>2026-09</x:v>
      </x:c>
      <x:c r="B13" s="35" t="n">
        <x:v>24</x:v>
      </x:c>
      <x:c r="C13" s="35" t="n">
        <x:v>24</x:v>
      </x:c>
      <x:c r="D13" s="35" t="n">
        <x:v>24</x:v>
      </x:c>
      <x:c r="E13" s="35" t="n">
        <x:v>24</x:v>
      </x:c>
      <x:c r="F13" s="35" t="n">
        <x:v>23</x:v>
      </x:c>
      <x:c r="G13" s="35" t="n">
        <x:v>23</x:v>
      </x:c>
      <x:c r="H13" s="35" t="n">
        <x:f>SUM(B13:G13)</x:f>
        <x:v>142</x:v>
      </x:c>
    </x:row>
    <x:row r="14">
      <x:c r="A14" s="24" t="str">
        <x:v>Total</x:v>
      </x:c>
      <x:c r="B14" s="37" t="n">
        <x:f>SUM(B5:B13)</x:f>
        <x:v>267</x:v>
      </x:c>
      <x:c r="C14" s="37" t="n">
        <x:f>SUM(C5:C13)</x:f>
        <x:v>267</x:v>
      </x:c>
      <x:c r="D14" s="37" t="n">
        <x:f>SUM(D5:D13)</x:f>
        <x:v>267</x:v>
      </x:c>
      <x:c r="E14" s="37" t="n">
        <x:f>SUM(E5:E13)</x:f>
        <x:v>267</x:v>
      </x:c>
      <x:c r="F14" s="37" t="n">
        <x:f>SUM(F5:F13)</x:f>
        <x:v>266</x:v>
      </x:c>
      <x:c r="G14" s="37" t="n">
        <x:f>SUM(G5:G13)</x:f>
        <x:v>266</x:v>
      </x:c>
      <x:c r="H14" s="37" t="n">
        <x:f>SUM(H5:H13)</x:f>
        <x:v>1600</x:v>
      </x:c>
    </x:row>
  </x:sheetData>
  <x:mergeCells>
    <x:mergeCell ref="A1:H1"/>
    <x:mergeCell ref="A2:H2"/>
  </x:mergeCells>
  <x:printOptions horizontalCentered="1" verticalCentered="0" gridLines="0" headings="0"/>
  <x:pageMargins left="0.25" right="0.25" top="0.35" bottom="0.35" header="0.15" footer="0.15"/>
  <x:pageSetup paperSize="9" orientation="landscape" fitToWidth="1" fitToHeight="1"/>
  <x:drawing xmlns:r="http://schemas.openxmlformats.org/officeDocument/2006/relationships" r:id="Rbcf31351e2164fbb"/>
  <x:tableParts count="1">
    <x:tablePart xmlns:r="http://schemas.openxmlformats.org/officeDocument/2006/relationships" r:id="R764d9745cac243a2"/>
  </x:tableParts>
</x:worksheet>
</file>

<file path=xl/worksheets/sheet4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7" hidden="0" customWidth="1"/>
    <x:col min="6" max="6" width="19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21" t="str">
        <x:v>Pivot Table: Mean Metrics by City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Means are descriptive summaries of the intentional sample; not city rankings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City</x:v>
      </x:c>
      <x:c r="B4" s="10" t="str">
        <x:v>Traffic volume</x:v>
      </x:c>
      <x:c r="C4" s="10" t="str">
        <x:v>Average speed (km/h)</x:v>
      </x:c>
      <x:c r="D4" s="10" t="str">
        <x:v>Parking occupancy (%)</x:v>
      </x:c>
      <x:c r="E4" s="10" t="str">
        <x:v>Temperature (C)</x:v>
      </x:c>
      <x:c r="F4" s="10" t="str">
        <x:v>Citizen complaints</x:v>
      </x:c>
      <x:c r="G4" s="23"/>
      <x:c r="H4" s="23"/>
    </x:row>
    <x:row r="5">
      <x:c r="A5" s="23" t="str">
        <x:v>Bengaluru</x:v>
      </x:c>
      <x:c r="B5" s="36" t="n">
        <x:v>2110.2718894009217</x:v>
      </x:c>
      <x:c r="C5" s="36" t="n">
        <x:v>38.786511627906975</x:v>
      </x:c>
      <x:c r="D5" s="36" t="n">
        <x:v>67.41255605381166</x:v>
      </x:c>
      <x:c r="E5" s="36" t="n">
        <x:v>28.805479452054794</x:v>
      </x:c>
      <x:c r="F5" s="36" t="n">
        <x:v>8.008968609865471</x:v>
      </x:c>
      <x:c r="G5" s="23"/>
      <x:c r="H5" s="23"/>
    </x:row>
    <x:row r="6">
      <x:c r="A6" s="23" t="str">
        <x:v>Bhopal</x:v>
      </x:c>
      <x:c r="B6" s="36" t="n">
        <x:v>2184.2323232323233</x:v>
      </x:c>
      <x:c r="C6" s="36" t="n">
        <x:v>37.723350253807105</x:v>
      </x:c>
      <x:c r="D6" s="36" t="n">
        <x:v>67.5156862745098</x:v>
      </x:c>
      <x:c r="E6" s="36" t="n">
        <x:v>28.9345</x:v>
      </x:c>
      <x:c r="F6" s="36" t="n">
        <x:v>7.901960784313726</x:v>
      </x:c>
      <x:c r="G6" s="23"/>
      <x:c r="H6" s="23"/>
    </x:row>
    <x:row r="7">
      <x:c r="A7" s="23" t="str">
        <x:v>Delhi</x:v>
      </x:c>
      <x:c r="B7" s="36" t="n">
        <x:v>1926.6842105263158</x:v>
      </x:c>
      <x:c r="C7" s="36" t="n">
        <x:v>38.13665158371041</x:v>
      </x:c>
      <x:c r="D7" s="36" t="n">
        <x:v>67.37878787878788</x:v>
      </x:c>
      <x:c r="E7" s="36" t="n">
        <x:v>29.3589519650655</x:v>
      </x:c>
      <x:c r="F7" s="36" t="n">
        <x:v>8.030303030303031</x:v>
      </x:c>
      <x:c r="G7" s="23"/>
      <x:c r="H7" s="23"/>
    </x:row>
    <x:row r="8">
      <x:c r="A8" s="23" t="str">
        <x:v>Indore</x:v>
      </x:c>
      <x:c r="B8" s="36" t="n">
        <x:v>2014.9957627118645</x:v>
      </x:c>
      <x:c r="C8" s="36" t="n">
        <x:v>38.06738197424893</x:v>
      </x:c>
      <x:c r="D8" s="36" t="n">
        <x:v>68.70083333333334</x:v>
      </x:c>
      <x:c r="E8" s="36" t="n">
        <x:v>28.7068085106383</x:v>
      </x:c>
      <x:c r="F8" s="36" t="n">
        <x:v>7.6375</x:v>
      </x:c>
      <x:c r="G8" s="23"/>
      <x:c r="H8" s="23"/>
    </x:row>
    <x:row r="9">
      <x:c r="A9" s="23" t="str">
        <x:v>Jaipur</x:v>
      </x:c>
      <x:c r="B9" s="36" t="n">
        <x:v>2105.541850220264</x:v>
      </x:c>
      <x:c r="C9" s="36" t="n">
        <x:v>38.21696428571429</x:v>
      </x:c>
      <x:c r="D9" s="36" t="n">
        <x:v>68.191341991342</x:v>
      </x:c>
      <x:c r="E9" s="36" t="n">
        <x:v>28.67180616740088</x:v>
      </x:c>
      <x:c r="F9" s="36" t="n">
        <x:v>8.134199134199134</x:v>
      </x:c>
      <x:c r="G9" s="23"/>
      <x:c r="H9" s="23"/>
    </x:row>
    <x:row r="10">
      <x:c r="A10" s="23" t="str">
        <x:v>Nagpur</x:v>
      </x:c>
      <x:c r="B10" s="36" t="n">
        <x:v>2073.5466666666666</x:v>
      </x:c>
      <x:c r="C10" s="36" t="n">
        <x:v>37.68017621145374</x:v>
      </x:c>
      <x:c r="D10" s="36" t="n">
        <x:v>69.51310043668123</x:v>
      </x:c>
      <x:c r="E10" s="36" t="n">
        <x:v>29.338116591928248</x:v>
      </x:c>
      <x:c r="F10" s="36" t="n">
        <x:v>8.069868995633188</x:v>
      </x:c>
      <x:c r="G10" s="23"/>
      <x:c r="H10" s="23"/>
    </x:row>
    <x:row r="11">
      <x:c r="A11" s="23" t="str">
        <x:v>Pune</x:v>
      </x:c>
      <x:c r="B11" s="36" t="n">
        <x:v>1966.886075949367</x:v>
      </x:c>
      <x:c r="C11" s="36" t="n">
        <x:v>38.4965811965812</x:v>
      </x:c>
      <x:c r="D11" s="36" t="n">
        <x:v>68.14090909090909</x:v>
      </x:c>
      <x:c r="E11" s="36" t="n">
        <x:v>28.721702127659576</x:v>
      </x:c>
      <x:c r="F11" s="36" t="n">
        <x:v>7.900826446280992</x:v>
      </x:c>
      <x:c r="G11" s="23"/>
      <x:c r="H11" s="23"/>
    </x:row>
  </x:sheetData>
  <x:mergeCells>
    <x:mergeCell ref="A1:H1"/>
    <x:mergeCell ref="A2:H2"/>
  </x:mergeCells>
  <x:printOptions horizontalCentered="1" verticalCentered="0" gridLines="0" headings="0"/>
  <x:pageMargins left="0.25" right="0.25" top="0.35" bottom="0.35" header="0.15" footer="0.15"/>
  <x:pageSetup paperSize="9" orientation="landscape" fitToWidth="1" fitToHeight="2"/>
  <x:drawing xmlns:r="http://schemas.openxmlformats.org/officeDocument/2006/relationships" r:id="R12a7d68fbcbd4a45"/>
  <x:tableParts count="1">
    <x:tablePart xmlns:r="http://schemas.openxmlformats.org/officeDocument/2006/relationships" r:id="R30ed0936d1e6478d"/>
  </x:tableParts>
</x:worksheet>
</file>

<file path=xl/worksheets/sheet5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1" t="str">
        <x:v>Pivot Table: Metric Summary</x:v>
      </x:c>
      <x:c r="B1" s="21"/>
      <x:c r="C1" s="21"/>
      <x:c r="D1" s="21"/>
      <x:c r="E1" s="21"/>
      <x:c r="F1" s="21"/>
      <x:c r="G1" s="21"/>
      <x:c r="H1" s="21"/>
      <x:c r="I1" s="23"/>
    </x:row>
    <x:row r="2">
      <x:c r="A2" s="22" t="str">
        <x:v>Observed values only; missing values are not imputed in the primary analysis</x:v>
      </x:c>
      <x:c r="B2" s="22"/>
      <x:c r="C2" s="22"/>
      <x:c r="D2" s="22"/>
      <x:c r="E2" s="22"/>
      <x:c r="F2" s="22"/>
      <x:c r="G2" s="22"/>
      <x:c r="H2" s="22"/>
      <x:c r="I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10" t="str">
        <x:v>Metric</x:v>
      </x:c>
      <x:c r="B4" s="10" t="str">
        <x:v>Observed n</x:v>
      </x:c>
      <x:c r="C4" s="10" t="str">
        <x:v>Mean</x:v>
      </x:c>
      <x:c r="D4" s="10" t="str">
        <x:v>Median</x:v>
      </x:c>
      <x:c r="E4" s="10" t="str">
        <x:v>Std dev</x:v>
      </x:c>
      <x:c r="F4" s="10" t="str">
        <x:v>Min</x:v>
      </x:c>
      <x:c r="G4" s="10" t="str">
        <x:v>Max</x:v>
      </x:c>
      <x:c r="H4" s="10" t="str">
        <x:v>99% CI low</x:v>
      </x:c>
      <x:c r="I4" s="20" t="str">
        <x:v>99% CI high</x:v>
      </x:c>
    </x:row>
    <x:row r="5">
      <x:c r="A5" s="23" t="str">
        <x:v>avg_speed_kmph</x:v>
      </x:c>
      <x:c r="B5" s="35" t="n">
        <x:v>1551</x:v>
      </x:c>
      <x:c r="C5" s="27" t="n">
        <x:v>38.16292714377821</x:v>
      </x:c>
      <x:c r="D5" s="27" t="n">
        <x:v>37.9</x:v>
      </x:c>
      <x:c r="E5" s="27" t="n">
        <x:v>11.777547209203245</x:v>
      </x:c>
      <x:c r="F5" s="27" t="n">
        <x:v>3</x:v>
      </x:c>
      <x:c r="G5" s="27" t="n">
        <x:v>85.1</x:v>
      </x:c>
      <x:c r="H5" s="27" t="n">
        <x:v>37.418645712443585</x:v>
      </x:c>
      <x:c r="I5" s="27" t="n">
        <x:v>38.95306511927788</x:v>
      </x:c>
    </x:row>
    <x:row r="6">
      <x:c r="A6" s="23" t="str">
        <x:v>citizen_complaints</x:v>
      </x:c>
      <x:c r="B6" s="35" t="n">
        <x:v>1600</x:v>
      </x:c>
      <x:c r="C6" s="27" t="n">
        <x:v>7.953125</x:v>
      </x:c>
      <x:c r="D6" s="27" t="n">
        <x:v>8</x:v>
      </x:c>
      <x:c r="E6" s="27" t="n">
        <x:v>2.7970193613366905</x:v>
      </x:c>
      <x:c r="F6" s="27" t="n">
        <x:v>1</x:v>
      </x:c>
      <x:c r="G6" s="27" t="n">
        <x:v>17</x:v>
      </x:c>
      <x:c r="H6" s="27" t="n">
        <x:v>7.77625</x:v>
      </x:c>
      <x:c r="I6" s="27" t="n">
        <x:v>8.13375</x:v>
      </x:c>
    </x:row>
    <x:row r="7">
      <x:c r="A7" s="23" t="str">
        <x:v>parking_occupancy_pct</x:v>
      </x:c>
      <x:c r="B7" s="35" t="n">
        <x:v>1600</x:v>
      </x:c>
      <x:c r="C7" s="27" t="n">
        <x:v>68.1373125</x:v>
      </x:c>
      <x:c r="D7" s="27" t="n">
        <x:v>67.9</x:v>
      </x:c>
      <x:c r="E7" s="27" t="n">
        <x:v>20.316689418934242</x:v>
      </x:c>
      <x:c r="F7" s="27" t="n">
        <x:v>5</x:v>
      </x:c>
      <x:c r="G7" s="27" t="n">
        <x:v>110</x:v>
      </x:c>
      <x:c r="H7" s="27" t="n">
        <x:v>66.8734859375</x:v>
      </x:c>
      <x:c r="I7" s="27" t="n">
        <x:v>69.4425303125</x:v>
      </x:c>
    </x:row>
    <x:row r="8">
      <x:c r="A8" s="23" t="str">
        <x:v>power_outage_minutes</x:v>
      </x:c>
      <x:c r="B8" s="35" t="n">
        <x:v>1600</x:v>
      </x:c>
      <x:c r="C8" s="27" t="n">
        <x:v>11.875062499999999</x:v>
      </x:c>
      <x:c r="D8" s="27" t="n">
        <x:v>8</x:v>
      </x:c>
      <x:c r="E8" s="27" t="n">
        <x:v>12.360906292575288</x:v>
      </x:c>
      <x:c r="F8" s="27" t="n">
        <x:v>0</x:v>
      </x:c>
      <x:c r="G8" s="27" t="n">
        <x:v>127.2</x:v>
      </x:c>
      <x:c r="H8" s="27" t="n">
        <x:v>11.124259375000001</x:v>
      </x:c>
      <x:c r="I8" s="27" t="n">
        <x:v>12.681761875000001</x:v>
      </x:c>
    </x:row>
    <x:row r="9">
      <x:c r="A9" s="23" t="str">
        <x:v>public_transport_usage</x:v>
      </x:c>
      <x:c r="B9" s="35" t="n">
        <x:v>1600</x:v>
      </x:c>
      <x:c r="C9" s="27" t="n">
        <x:v>1298.6725</x:v>
      </x:c>
      <x:c r="D9" s="27" t="n">
        <x:v>1305</x:v>
      </x:c>
      <x:c r="E9" s="27" t="n">
        <x:v>694.0211811383483</x:v>
      </x:c>
      <x:c r="F9" s="27" t="n">
        <x:v>100</x:v>
      </x:c>
      <x:c r="G9" s="27" t="n">
        <x:v>2498</x:v>
      </x:c>
      <x:c r="H9" s="27" t="n">
        <x:v>1253.50891875</x:v>
      </x:c>
      <x:c r="I9" s="27" t="n">
        <x:v>1343.7764656250001</x:v>
      </x:c>
    </x:row>
    <x:row r="10">
      <x:c r="A10" s="23" t="str">
        <x:v>road_incidents</x:v>
      </x:c>
      <x:c r="B10" s="35" t="n">
        <x:v>1600</x:v>
      </x:c>
      <x:c r="C10" s="27" t="n">
        <x:v>1.959375</x:v>
      </x:c>
      <x:c r="D10" s="27" t="n">
        <x:v>2</x:v>
      </x:c>
      <x:c r="E10" s="27" t="n">
        <x:v>1.394700811409329</x:v>
      </x:c>
      <x:c r="F10" s="27" t="n">
        <x:v>0</x:v>
      </x:c>
      <x:c r="G10" s="27" t="n">
        <x:v>8</x:v>
      </x:c>
      <x:c r="H10" s="27" t="n">
        <x:v>1.87125</x:v>
      </x:c>
      <x:c r="I10" s="27" t="n">
        <x:v>2.0525</x:v>
      </x:c>
    </x:row>
    <x:row r="11">
      <x:c r="A11" s="23" t="str">
        <x:v>temperature_c</x:v>
      </x:c>
      <x:c r="B11" s="35" t="n">
        <x:v>1568</x:v>
      </x:c>
      <x:c r="C11" s="27" t="n">
        <x:v>28.931823979591837</x:v>
      </x:c>
      <x:c r="D11" s="27" t="n">
        <x:v>28.95</x:v>
      </x:c>
      <x:c r="E11" s="27" t="n">
        <x:v>7.046634791951494</x:v>
      </x:c>
      <x:c r="F11" s="27" t="n">
        <x:v>6.4</x:v>
      </x:c>
      <x:c r="G11" s="27" t="n">
        <x:v>53.8</x:v>
      </x:c>
      <x:c r="H11" s="27" t="n">
        <x:v>28.487798788265305</x:v>
      </x:c>
      <x:c r="I11" s="27" t="n">
        <x:v>29.388088010204083</x:v>
      </x:c>
    </x:row>
    <x:row r="12">
      <x:c r="A12" s="23" t="str">
        <x:v>traffic_volume</x:v>
      </x:c>
      <x:c r="B12" s="35" t="n">
        <x:v>1568</x:v>
      </x:c>
      <x:c r="C12" s="27" t="n">
        <x:v>2050.9489795918366</x:v>
      </x:c>
      <x:c r="D12" s="27" t="n">
        <x:v>2008.5</x:v>
      </x:c>
      <x:c r="E12" s="27" t="n">
        <x:v>1100.071279212412</x:v>
      </x:c>
      <x:c r="F12" s="27" t="n">
        <x:v>214</x:v>
      </x:c>
      <x:c r="G12" s="27" t="n">
        <x:v>3999</x:v>
      </x:c>
      <x:c r="H12" s="27" t="n">
        <x:v>1980.2450414540817</x:v>
      </x:c>
      <x:c r="I12" s="27" t="n">
        <x:v>2122.592350127551</x:v>
      </x:c>
    </x:row>
    <x:row r="13">
      <x:c r="A13" s="23" t="str">
        <x:v>waterlogging_reports</x:v>
      </x:c>
      <x:c r="B13" s="35" t="n">
        <x:v>1600</x:v>
      </x:c>
      <x:c r="C13" s="27" t="n">
        <x:v>1.02125</x:v>
      </x:c>
      <x:c r="D13" s="27" t="n">
        <x:v>1</x:v>
      </x:c>
      <x:c r="E13" s="27" t="n">
        <x:v>0.9956997909993367</x:v>
      </x:c>
      <x:c r="F13" s="27" t="n">
        <x:v>0</x:v>
      </x:c>
      <x:c r="G13" s="27" t="n">
        <x:v>6</x:v>
      </x:c>
      <x:c r="H13" s="27" t="n">
        <x:v>0.958125</x:v>
      </x:c>
      <x:c r="I13" s="27" t="n">
        <x:v>1.09125</x:v>
      </x:c>
    </x:row>
  </x:sheetData>
  <x:mergeCells>
    <x:mergeCell ref="A1:H1"/>
    <x:mergeCell ref="A2:H2"/>
  </x:mergeCells>
  <x:tableParts count="1">
    <x:tablePart xmlns:r="http://schemas.openxmlformats.org/officeDocument/2006/relationships" r:id="Ra28850e78a654629"/>
  </x:tableParts>
  <x:printOptions horizontalCentered="1" verticalCentered="0" gridLines="0" headings="0"/>
  <x:pageMargins left="0.25" right="0.25" top="0.35" bottom="0.35" header="0.15" footer="0.15"/>
  <x:pageSetup paperSize="9" orientation="landscape" fitToWidth="1" fitToHeight="1"/>
</x:worksheet>
</file>

<file path=xl/worksheets/sheet6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2" hidden="0" customWidth="1"/>
    <x:col min="4" max="4" width="3" hidden="0" customWidth="1"/>
    <x:col min="5" max="5" width="2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1" t="str">
        <x:v>Data Quality and Provenance Review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Flags are retained in the database and do not silently overwrite raw values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Flag type</x:v>
      </x:c>
      <x:c r="B4" s="10" t="str">
        <x:v>Field</x:v>
      </x:c>
      <x:c r="C4" s="10" t="str">
        <x:v>Count</x:v>
      </x:c>
      <x:c r="D4" s="23"/>
      <x:c r="E4" s="23"/>
      <x:c r="F4" s="23"/>
      <x:c r="G4" s="23"/>
      <x:c r="H4" s="23"/>
    </x:row>
    <x:row r="5">
      <x:c r="A5" s="23" t="str">
        <x:v>corrected</x:v>
      </x:c>
      <x:c r="B5" s="23" t="str">
        <x:v>zone</x:v>
      </x:c>
      <x:c r="C5" s="35" t="n">
        <x:v>430</x:v>
      </x:c>
      <x:c r="D5" s="23"/>
      <x:c r="E5" s="23"/>
      <x:c r="F5" s="23"/>
      <x:c r="G5" s="23"/>
      <x:c r="H5" s="23"/>
    </x:row>
    <x:row r="6">
      <x:c r="A6" s="23" t="str">
        <x:v>outlier</x:v>
      </x:c>
      <x:c r="B6" s="23" t="str">
        <x:v>temperature_c</x:v>
      </x:c>
      <x:c r="C6" s="35" t="n">
        <x:v>287</x:v>
      </x:c>
      <x:c r="D6" s="23"/>
      <x:c r="E6" s="23"/>
      <x:c r="F6" s="23"/>
      <x:c r="G6" s="23"/>
      <x:c r="H6" s="23"/>
    </x:row>
    <x:row r="7">
      <x:c r="A7" s="23" t="str">
        <x:v>outlier</x:v>
      </x:c>
      <x:c r="B7" s="23" t="str">
        <x:v>parking_occupancy_pct</x:v>
      </x:c>
      <x:c r="C7" s="35" t="n">
        <x:v>113</x:v>
      </x:c>
      <x:c r="D7" s="23"/>
      <x:c r="E7" s="23"/>
      <x:c r="F7" s="23"/>
      <x:c r="G7" s="23"/>
      <x:c r="H7" s="23"/>
    </x:row>
    <x:row r="8">
      <x:c r="A8" s="23" t="str">
        <x:v>imputed</x:v>
      </x:c>
      <x:c r="B8" s="23" t="str">
        <x:v>avg_speed_kmph</x:v>
      </x:c>
      <x:c r="C8" s="35" t="n">
        <x:v>39</x:v>
      </x:c>
      <x:c r="D8" s="23"/>
      <x:c r="E8" s="23"/>
      <x:c r="F8" s="23"/>
      <x:c r="G8" s="23"/>
      <x:c r="H8" s="23"/>
    </x:row>
    <x:row r="9">
      <x:c r="A9" s="23" t="str">
        <x:v>missing</x:v>
      </x:c>
      <x:c r="B9" s="23" t="str">
        <x:v>avg_speed_kmph</x:v>
      </x:c>
      <x:c r="C9" s="35" t="n">
        <x:v>39</x:v>
      </x:c>
      <x:c r="D9" s="23"/>
      <x:c r="E9" s="23"/>
      <x:c r="F9" s="23"/>
      <x:c r="G9" s="23"/>
      <x:c r="H9" s="23"/>
    </x:row>
    <x:row r="10">
      <x:c r="A10" s="23" t="str">
        <x:v>imputed</x:v>
      </x:c>
      <x:c r="B10" s="23" t="str">
        <x:v>temperature_c</x:v>
      </x:c>
      <x:c r="C10" s="35" t="n">
        <x:v>32</x:v>
      </x:c>
      <x:c r="D10" s="23"/>
      <x:c r="E10" s="23"/>
      <x:c r="F10" s="23"/>
      <x:c r="G10" s="23"/>
      <x:c r="H10" s="23"/>
    </x:row>
    <x:row r="11">
      <x:c r="A11" s="23" t="str">
        <x:v>imputed</x:v>
      </x:c>
      <x:c r="B11" s="23" t="str">
        <x:v>traffic_volume</x:v>
      </x:c>
      <x:c r="C11" s="35" t="n">
        <x:v>32</x:v>
      </x:c>
      <x:c r="D11" s="23"/>
      <x:c r="E11" s="23"/>
      <x:c r="F11" s="23"/>
      <x:c r="G11" s="23"/>
      <x:c r="H11" s="23"/>
    </x:row>
    <x:row r="12">
      <x:c r="A12" s="23" t="str">
        <x:v>imputed</x:v>
      </x:c>
      <x:c r="B12" s="23" t="str">
        <x:v>zone</x:v>
      </x:c>
      <x:c r="C12" s="35" t="n">
        <x:v>32</x:v>
      </x:c>
      <x:c r="D12" s="23"/>
      <x:c r="E12" s="23"/>
      <x:c r="F12" s="23"/>
      <x:c r="G12" s="23"/>
      <x:c r="H12" s="23"/>
    </x:row>
    <x:row r="13">
      <x:c r="A13" s="23" t="str">
        <x:v>missing</x:v>
      </x:c>
      <x:c r="B13" s="23" t="str">
        <x:v>temperature_c</x:v>
      </x:c>
      <x:c r="C13" s="35" t="n">
        <x:v>32</x:v>
      </x:c>
      <x:c r="D13" s="23"/>
      <x:c r="E13" s="23"/>
      <x:c r="F13" s="23"/>
      <x:c r="G13" s="23"/>
      <x:c r="H13" s="23"/>
    </x:row>
    <x:row r="14">
      <x:c r="A14" s="23" t="str">
        <x:v>missing</x:v>
      </x:c>
      <x:c r="B14" s="23" t="str">
        <x:v>traffic_volume</x:v>
      </x:c>
      <x:c r="C14" s="35" t="n">
        <x:v>32</x:v>
      </x:c>
      <x:c r="D14" s="23"/>
      <x:c r="E14" s="23"/>
      <x:c r="F14" s="23"/>
      <x:c r="G14" s="23"/>
      <x:c r="H14" s="23"/>
    </x:row>
    <x:row r="15">
      <x:c r="A15" s="23" t="str">
        <x:v>missing</x:v>
      </x:c>
      <x:c r="B15" s="23" t="str">
        <x:v>zone</x:v>
      </x:c>
      <x:c r="C15" s="35" t="n">
        <x:v>32</x:v>
      </x:c>
      <x:c r="D15" s="23"/>
      <x:c r="E15" s="23"/>
      <x:c r="F15" s="23"/>
      <x:c r="G15" s="23"/>
      <x:c r="H15" s="23"/>
    </x:row>
    <x:row r="16">
      <x:c r="A16" s="23" t="str">
        <x:v>unknown</x:v>
      </x:c>
      <x:c r="B16" s="23" t="str">
        <x:v>zone</x:v>
      </x:c>
      <x:c r="C16" s="35" t="n">
        <x:v>32</x:v>
      </x:c>
      <x:c r="D16" s="23"/>
      <x:c r="E16" s="23"/>
      <x:c r="F16" s="23"/>
      <x:c r="G16" s="23"/>
      <x:c r="H16" s="23"/>
    </x:row>
    <x:row r="17">
      <x:c r="A17" s="23" t="str">
        <x:v>outlier</x:v>
      </x:c>
      <x:c r="B17" s="23" t="str">
        <x:v>power_outage_minutes</x:v>
      </x:c>
      <x:c r="C17" s="35" t="n">
        <x:v>16</x:v>
      </x:c>
      <x:c r="D17" s="23"/>
      <x:c r="E17" s="23"/>
      <x:c r="F17" s="23"/>
      <x:c r="G17" s="23"/>
      <x:c r="H17" s="23"/>
    </x:row>
    <x:row r="18">
      <x:c r="A18" s="23" t="str">
        <x:v>outlier</x:v>
      </x:c>
      <x:c r="B18" s="23" t="str">
        <x:v>avg_speed_kmph</x:v>
      </x:c>
      <x:c r="C18" s="35" t="n">
        <x:v>10</x:v>
      </x:c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10" t="str">
        <x:v>Recorded decision</x:v>
      </x:c>
      <x:c r="B22" s="10" t="str">
        <x:v>Status</x:v>
      </x:c>
      <x:c r="C22" s="23"/>
      <x:c r="D22" s="23"/>
      <x:c r="E22" s="23"/>
      <x:c r="F22" s="23"/>
      <x:c r="G22" s="23"/>
      <x:c r="H22" s="23"/>
    </x:row>
    <x:row r="23">
      <x:c r="A23" s="23" t="str">
        <x:v>Row grain</x:v>
      </x:c>
      <x:c r="B23" s="23" t="str">
        <x:v>CONFIRMED_INTENTIONAL_SAMPLE</x:v>
      </x:c>
      <x:c r="C23" s="23"/>
      <x:c r="D23" s="23"/>
      <x:c r="E23" s="23"/>
      <x:c r="F23" s="23"/>
      <x:c r="G23" s="23"/>
      <x:c r="H23" s="23"/>
    </x:row>
    <x:row r="24">
      <x:c r="A24" s="23" t="str">
        <x:v>Analysis base</x:v>
      </x:c>
      <x:c r="B24" s="23" t="str">
        <x:v>READY_WITH_LIMITATION</x:v>
      </x:c>
      <x:c r="C24" s="23"/>
      <x:c r="D24" s="23"/>
      <x:c r="E24" s="20" t="str">
        <x:v>Field</x:v>
      </x:c>
      <x:c r="F24" s="20" t="str">
        <x:v>Total flags</x:v>
      </x:c>
      <x:c r="G24" s="23"/>
      <x:c r="H24" s="23"/>
    </x:row>
    <x:row r="25">
      <x:c r="A25" s="23" t="str">
        <x:v>Provenance check</x:v>
      </x:c>
      <x:c r="B25" s="23" t="str">
        <x:v>COMPLETED_STEP_8_PROVENANCE_SIMULATION</x:v>
      </x:c>
      <x:c r="C25" s="23"/>
      <x:c r="D25" s="23"/>
      <x:c r="E25" s="23" t="str">
        <x:v>zone</x:v>
      </x:c>
      <x:c r="F25" s="35" t="n">
        <x:v>526</x:v>
      </x:c>
      <x:c r="G25" s="23"/>
      <x:c r="H25" s="23"/>
    </x:row>
    <x:row r="26">
      <x:c r="A26" s="23" t="str">
        <x:v>Fitness decision</x:v>
      </x:c>
      <x:c r="B26" s="23" t="str">
        <x:v>COMPLETED_STEP_9_FIT_ONLY_DESCRIPTIVE_REPORTING</x:v>
      </x:c>
      <x:c r="C26" s="23"/>
      <x:c r="D26" s="23"/>
      <x:c r="E26" s="23" t="str">
        <x:v>temperature_c</x:v>
      </x:c>
      <x:c r="F26" s="35" t="n">
        <x:v>351</x:v>
      </x:c>
      <x:c r="G26" s="23"/>
      <x:c r="H26" s="23"/>
    </x:row>
    <x:row r="27">
      <x:c r="A27" s="23" t="str">
        <x:v>Primary rule</x:v>
      </x:c>
      <x:c r="B27" s="23" t="str">
        <x:v>Observed values only; imputation is sensitivity-only</x:v>
      </x:c>
      <x:c r="C27" s="23"/>
      <x:c r="D27" s="23"/>
      <x:c r="E27" s="23" t="str">
        <x:v>parking_occupancy_pct</x:v>
      </x:c>
      <x:c r="F27" s="35" t="n">
        <x:v>113</x:v>
      </x:c>
      <x:c r="G27" s="23"/>
      <x:c r="H27" s="23"/>
    </x:row>
    <x:row r="28">
      <x:c r="A28" s="23"/>
      <x:c r="B28" s="23"/>
      <x:c r="C28" s="23"/>
      <x:c r="D28" s="23"/>
      <x:c r="E28" s="23" t="str">
        <x:v>avg_speed_kmph</x:v>
      </x:c>
      <x:c r="F28" s="35" t="n">
        <x:v>88</x:v>
      </x:c>
      <x:c r="G28" s="23"/>
      <x:c r="H28" s="23"/>
    </x:row>
    <x:row r="29">
      <x:c r="A29" s="23"/>
      <x:c r="B29" s="23"/>
      <x:c r="C29" s="23"/>
      <x:c r="D29" s="23"/>
      <x:c r="E29" s="23" t="str">
        <x:v>traffic_volume</x:v>
      </x:c>
      <x:c r="F29" s="35" t="n">
        <x:v>64</x:v>
      </x:c>
      <x:c r="G29" s="23"/>
      <x:c r="H29" s="23"/>
    </x:row>
    <x:row r="30">
      <x:c r="A30" s="23"/>
      <x:c r="B30" s="23"/>
      <x:c r="C30" s="23"/>
      <x:c r="D30" s="23"/>
      <x:c r="E30" s="23" t="str">
        <x:v>power_outage_minutes</x:v>
      </x:c>
      <x:c r="F30" s="35" t="n">
        <x:v>16</x:v>
      </x:c>
      <x:c r="G30" s="23"/>
      <x:c r="H30" s="23"/>
    </x:row>
  </x:sheetData>
  <x:mergeCells>
    <x:mergeCell ref="A1:H1"/>
    <x:mergeCell ref="A2:H2"/>
  </x:mergeCells>
  <x:printOptions horizontalCentered="1" verticalCentered="0" gridLines="0" headings="0"/>
  <x:pageMargins left="0.25" right="0.25" top="0.35" bottom="0.35" header="0.15" footer="0.15"/>
  <x:pageSetup paperSize="9" orientation="landscape" fitToWidth="1" fitToHeight="1"/>
  <x:drawing xmlns:r="http://schemas.openxmlformats.org/officeDocument/2006/relationships" r:id="Re78149786d104d56"/>
  <x:tableParts count="3">
    <x:tablePart xmlns:r="http://schemas.openxmlformats.org/officeDocument/2006/relationships" r:id="R162b29d3e56f48e9"/>
    <x:tablePart xmlns:r="http://schemas.openxmlformats.org/officeDocument/2006/relationships" r:id="R65f5817b021a418d"/>
    <x:tablePart xmlns:r="http://schemas.openxmlformats.org/officeDocument/2006/relationships" r:id="Ra1b781295e674e51"/>
  </x:tableParts>
</x:worksheet>
</file>

<file path=xl/worksheets/sheet7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>
      <x:c r="A1" s="21" t="str">
        <x:v>Methods and Limitations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UrbanPulse analysis package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Source</x:v>
      </x:c>
      <x:c r="B4" s="10" t="str">
        <x:v>02_SmartCities_UrbanPulse_RAW-2.xlsx</x:v>
      </x:c>
      <x:c r="C4" s="23"/>
      <x:c r="D4" s="23"/>
      <x:c r="E4" s="23"/>
      <x:c r="F4" s="23"/>
      <x:c r="G4" s="23"/>
      <x:c r="H4" s="23"/>
    </x:row>
    <x:row r="5">
      <x:c r="A5" s="30" t="str">
        <x:v>Raw layer</x:v>
      </x:c>
      <x:c r="B5" s="31" t="str">
        <x:v>1,635 rows preserved in raw_urbanpulse</x:v>
      </x:c>
      <x:c r="C5" s="23"/>
      <x:c r="D5" s="23"/>
      <x:c r="E5" s="23"/>
      <x:c r="F5" s="23"/>
      <x:c r="G5" s="23"/>
      <x:c r="H5" s="23"/>
    </x:row>
    <x:row r="6">
      <x:c r="A6" s="30" t="str">
        <x:v>Canonical layer</x:v>
      </x:c>
      <x:c r="B6" s="31" t="str">
        <x:v>1,600 deduplicated rows with raw and cleaned values side by side</x:v>
      </x:c>
      <x:c r="C6" s="23"/>
      <x:c r="D6" s="23"/>
      <x:c r="E6" s="23"/>
      <x:c r="F6" s="23"/>
      <x:c r="G6" s="23"/>
      <x:c r="H6" s="23"/>
    </x:row>
    <x:row r="7">
      <x:c r="A7" s="30" t="str">
        <x:v>Primary analysis</x:v>
      </x:c>
      <x:c r="B7" s="31" t="str">
        <x:v>Observed values only; missing numeric values were not imputed</x:v>
      </x:c>
      <x:c r="C7" s="23"/>
      <x:c r="D7" s="23"/>
      <x:c r="E7" s="23"/>
      <x:c r="F7" s="23"/>
      <x:c r="G7" s="23"/>
      <x:c r="H7" s="23"/>
    </x:row>
    <x:row r="8">
      <x:c r="A8" s="30" t="str">
        <x:v>Sensitivity analysis</x:v>
      </x:c>
      <x:c r="B8" s="31" t="str">
        <x:v>Mean, median, and mode imputation kept separate</x:v>
      </x:c>
      <x:c r="C8" s="23"/>
      <x:c r="D8" s="23"/>
      <x:c r="E8" s="23"/>
      <x:c r="F8" s="23"/>
      <x:c r="G8" s="23"/>
      <x:c r="H8" s="23"/>
    </x:row>
    <x:row r="9">
      <x:c r="A9" s="30" t="str">
        <x:v>Quality decisions</x:v>
      </x:c>
      <x:c r="B9" s="31" t="str">
        <x:v>Confirmed errors corrected only where supported; valid extremes retained; unknowns flagged</x:v>
      </x:c>
      <x:c r="C9" s="23"/>
      <x:c r="D9" s="23"/>
      <x:c r="E9" s="23"/>
      <x:c r="F9" s="23"/>
      <x:c r="G9" s="23"/>
      <x:c r="H9" s="23"/>
    </x:row>
    <x:row r="10">
      <x:c r="A10" s="30" t="str">
        <x:v>Inferential threshold</x:v>
      </x:c>
      <x:c r="B10" s="31" t="str">
        <x:v>99% intervals and alpha = 0.01 with Holm correction where applicable</x:v>
      </x:c>
      <x:c r="C10" s="23"/>
      <x:c r="D10" s="23"/>
      <x:c r="E10" s="23"/>
      <x:c r="F10" s="23"/>
      <x:c r="G10" s="23"/>
      <x:c r="H10" s="23"/>
    </x:row>
    <x:row r="11">
      <x:c r="A11" s="30" t="str">
        <x:v>Model uncertainty</x:v>
      </x:c>
      <x:c r="B11" s="31" t="str">
        <x:v>3,000 date-block bootstrap repetitions for Step 7 effects</x:v>
      </x:c>
      <x:c r="C11" s="23"/>
      <x:c r="D11" s="23"/>
      <x:c r="E11" s="23"/>
      <x:c r="F11" s="23"/>
      <x:c r="G11" s="23"/>
      <x:c r="H11" s="23"/>
    </x:row>
    <x:row r="12">
      <x:c r="A12" s="30" t="str">
        <x:v>Provenance test</x:v>
      </x:c>
      <x:c r="B12" s="31" t="str">
        <x:v>5,000 independent within-field permutations preserving marginals and missingness</x:v>
      </x:c>
      <x:c r="C12" s="23"/>
      <x:c r="D12" s="23"/>
      <x:c r="E12" s="23"/>
      <x:c r="F12" s="23"/>
      <x:c r="G12" s="23"/>
      <x:c r="H12" s="23"/>
    </x:row>
    <x:row r="13">
      <x:c r="A13" s="30" t="str">
        <x:v>Provenance result</x:v>
      </x:c>
      <x:c r="B13" s="31" t="str">
        <x:v>0 of 81 diagnostics flagged; this is not proof of authenticity</x:v>
      </x:c>
      <x:c r="C13" s="23"/>
      <x:c r="D13" s="23"/>
      <x:c r="E13" s="23"/>
      <x:c r="F13" s="23"/>
      <x:c r="G13" s="23"/>
      <x:c r="H13" s="23"/>
    </x:row>
    <x:row r="14">
      <x:c r="A14" s="30" t="str">
        <x:v>Final classification</x:v>
      </x:c>
      <x:c r="B14" s="31" t="str">
        <x:v>Fit only for descriptive reporting</x:v>
      </x:c>
      <x:c r="C14" s="23"/>
      <x:c r="D14" s="23"/>
      <x:c r="E14" s="23"/>
      <x:c r="F14" s="23"/>
      <x:c r="G14" s="23"/>
      <x:c r="H14" s="23"/>
    </x:row>
    <x:row r="15">
      <x:c r="A15" s="30" t="str">
        <x:v>Operational restriction</x:v>
      </x:c>
      <x:c r="B15" s="31" t="str">
        <x:v>Not for operational control, safety decisions, causal claims, KPI commitments, or production forecasting</x:v>
      </x:c>
      <x:c r="C15" s="23"/>
      <x:c r="D15" s="23"/>
      <x:c r="E15" s="23"/>
      <x:c r="F15" s="23"/>
      <x:c r="G15" s="23"/>
      <x:c r="H15" s="23"/>
    </x:row>
  </x:sheetData>
  <x:mergeCells>
    <x:mergeCell ref="A1:H1"/>
    <x:mergeCell ref="A2:H2"/>
  </x:mergeCells>
  <x:printOptions horizontalCentered="1" verticalCentered="0" gridLines="0" headings="0"/>
  <x:pageMargins left="0.25" right="0.25" top="0.35" bottom="0.35" header="0.15" footer="0.15"/>
  <x:pageSetup paperSize="9" orientation="landscape" fitToWidth="1" fitToHeight="1"/>
</x:worksheet>
</file>